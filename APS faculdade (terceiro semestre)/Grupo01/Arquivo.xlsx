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ÃO APAGAR\APS\"/>
    </mc:Choice>
  </mc:AlternateContent>
  <xr:revisionPtr revIDLastSave="0" documentId="13_ncr:1_{11B547D5-A926-4FBB-A402-DDDA91CB8512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presa _ Jaguari Jacareí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S5" i="1" l="1"/>
  <c r="S6" i="1" s="1"/>
  <c r="S7" i="1" s="1"/>
  <c r="S8" i="1" s="1"/>
  <c r="S9" i="1" s="1"/>
  <c r="S10" i="1" s="1"/>
  <c r="D92" i="1" l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H19" i="1"/>
  <c r="H17" i="1" s="1"/>
  <c r="I17" i="1" s="1"/>
  <c r="D19" i="1"/>
  <c r="D18" i="1"/>
  <c r="D17" i="1"/>
  <c r="D16" i="1"/>
  <c r="D15" i="1"/>
  <c r="D14" i="1"/>
  <c r="D13" i="1"/>
  <c r="D12" i="1"/>
  <c r="D11" i="1"/>
  <c r="D10" i="1"/>
  <c r="I9" i="1"/>
  <c r="H11" i="1" s="1"/>
  <c r="I11" i="1" s="1"/>
  <c r="D9" i="1"/>
  <c r="D8" i="1"/>
  <c r="D7" i="1"/>
  <c r="D6" i="1"/>
  <c r="D5" i="1"/>
  <c r="D4" i="1"/>
  <c r="D3" i="1"/>
  <c r="L2" i="1"/>
  <c r="L3" i="1" s="1"/>
  <c r="L4" i="1" s="1"/>
  <c r="L5" i="1" s="1"/>
  <c r="L6" i="1" s="1"/>
  <c r="L7" i="1" s="1"/>
  <c r="L8" i="1" s="1"/>
  <c r="D2" i="1"/>
  <c r="D1" i="1"/>
  <c r="H16" i="1" l="1"/>
  <c r="H20" i="1"/>
  <c r="I20" i="1" s="1"/>
  <c r="G2" i="1"/>
  <c r="H2" i="1" s="1"/>
  <c r="G3" i="1" s="1"/>
  <c r="H3" i="1" s="1"/>
  <c r="J2" i="1"/>
  <c r="J3" i="1" l="1"/>
  <c r="G4" i="1"/>
  <c r="H4" i="1" s="1"/>
  <c r="K2" i="1"/>
  <c r="G5" i="1" l="1"/>
  <c r="H5" i="1" s="1"/>
  <c r="J4" i="1"/>
  <c r="K3" i="1"/>
  <c r="K4" i="1" l="1"/>
  <c r="G6" i="1"/>
  <c r="J5" i="1"/>
  <c r="K5" i="1" l="1"/>
  <c r="H14" i="1"/>
  <c r="H6" i="1"/>
  <c r="J6" i="1" l="1"/>
  <c r="G7" i="1"/>
  <c r="H7" i="1" s="1"/>
  <c r="J7" i="1" l="1"/>
  <c r="G8" i="1"/>
  <c r="H8" i="1" s="1"/>
  <c r="J8" i="1" s="1"/>
  <c r="K6" i="1"/>
  <c r="H13" i="1"/>
  <c r="K8" i="1" l="1"/>
  <c r="K7" i="1"/>
  <c r="K9" i="1" l="1"/>
  <c r="H21" i="1" s="1"/>
  <c r="I21" i="1" l="1"/>
  <c r="M5" i="1" l="1"/>
  <c r="M6" i="1"/>
  <c r="M8" i="1"/>
  <c r="M7" i="1"/>
  <c r="M2" i="1"/>
  <c r="M3" i="1"/>
  <c r="M4" i="1"/>
  <c r="N7" i="1" l="1"/>
  <c r="O7" i="1"/>
  <c r="N8" i="1"/>
  <c r="O8" i="1"/>
  <c r="N6" i="1"/>
  <c r="O6" i="1"/>
  <c r="N5" i="1"/>
  <c r="O5" i="1"/>
  <c r="O4" i="1"/>
  <c r="N4" i="1"/>
  <c r="N3" i="1"/>
  <c r="O3" i="1"/>
  <c r="O2" i="1"/>
  <c r="N2" i="1"/>
  <c r="N9" i="1" l="1"/>
  <c r="L16" i="1" s="1"/>
  <c r="O9" i="1"/>
  <c r="N16" i="1" l="1"/>
  <c r="L21" i="1" s="1"/>
  <c r="M16" i="1"/>
  <c r="L22" i="1"/>
  <c r="M22" i="1" s="1"/>
  <c r="L20" i="1"/>
  <c r="M20" i="1" s="1"/>
  <c r="L19" i="1"/>
  <c r="M19" i="1" s="1"/>
  <c r="L17" i="1"/>
  <c r="M17" i="1" s="1"/>
  <c r="L18" i="1"/>
  <c r="M18" i="1" s="1"/>
</calcChain>
</file>

<file path=xl/sharedStrings.xml><?xml version="1.0" encoding="utf-8"?>
<sst xmlns="http://schemas.openxmlformats.org/spreadsheetml/2006/main" count="127" uniqueCount="127">
  <si>
    <t>31/05/2018</t>
  </si>
  <si>
    <t>K</t>
  </si>
  <si>
    <t>IC</t>
  </si>
  <si>
    <t>FK</t>
  </si>
  <si>
    <t>XK</t>
  </si>
  <si>
    <t>XK*FK</t>
  </si>
  <si>
    <t>FAC</t>
  </si>
  <si>
    <t>(XK-X)</t>
  </si>
  <si>
    <t>(XK-X)^2</t>
  </si>
  <si>
    <t>(XK-X)^4</t>
  </si>
  <si>
    <t>30/05/2018</t>
  </si>
  <si>
    <t>29/05/2018</t>
  </si>
  <si>
    <t>28/05/2018</t>
  </si>
  <si>
    <t>27/05/2018</t>
  </si>
  <si>
    <t>26/05/2018</t>
  </si>
  <si>
    <t>25/05/2018</t>
  </si>
  <si>
    <t>24/05/2018</t>
  </si>
  <si>
    <t>22/05/2018</t>
  </si>
  <si>
    <t>23/05/2018</t>
  </si>
  <si>
    <t>21/05/2018</t>
  </si>
  <si>
    <t>RAIZ FK</t>
  </si>
  <si>
    <t>20/05/2018</t>
  </si>
  <si>
    <t>Z</t>
  </si>
  <si>
    <t>19/05/2018</t>
  </si>
  <si>
    <t>MO SIMP</t>
  </si>
  <si>
    <t>18/05/2018</t>
  </si>
  <si>
    <t>MO</t>
  </si>
  <si>
    <t>17/05/2018</t>
  </si>
  <si>
    <t>CALC</t>
  </si>
  <si>
    <t>REAL</t>
  </si>
  <si>
    <t>INTEIRO</t>
  </si>
  <si>
    <t>^4</t>
  </si>
  <si>
    <t>16/05/2018</t>
  </si>
  <si>
    <t>H</t>
  </si>
  <si>
    <t>S/ARRED</t>
  </si>
  <si>
    <t>15/05/2018</t>
  </si>
  <si>
    <t>K/ARRED</t>
  </si>
  <si>
    <t>VMP(max)</t>
  </si>
  <si>
    <t>14/05/2018</t>
  </si>
  <si>
    <t>N=AMPL</t>
  </si>
  <si>
    <t>VMP(min)</t>
  </si>
  <si>
    <t>13/05/2018</t>
  </si>
  <si>
    <t>LOG</t>
  </si>
  <si>
    <t>IC(max)</t>
  </si>
  <si>
    <t>12/05/2018</t>
  </si>
  <si>
    <t>h/ARRED</t>
  </si>
  <si>
    <t>IC(min)</t>
  </si>
  <si>
    <t>11/05/2018</t>
  </si>
  <si>
    <t>X/ARRED</t>
  </si>
  <si>
    <t>C/ARRED</t>
  </si>
  <si>
    <t>LC</t>
  </si>
  <si>
    <t>10/05/2018</t>
  </si>
  <si>
    <t>AS</t>
  </si>
  <si>
    <t>S+</t>
  </si>
  <si>
    <t>09/05/2018</t>
  </si>
  <si>
    <t>08/05/2018</t>
  </si>
  <si>
    <t>07/05/2018</t>
  </si>
  <si>
    <t>06/05/2018</t>
  </si>
  <si>
    <t>05/05/2018</t>
  </si>
  <si>
    <t>04/05/2018</t>
  </si>
  <si>
    <t>03/05/2018</t>
  </si>
  <si>
    <t>02/05/2018</t>
  </si>
  <si>
    <t>01/05/2018</t>
  </si>
  <si>
    <t>30/04/2018</t>
  </si>
  <si>
    <t>29/04/2018</t>
  </si>
  <si>
    <t>28/04/2018</t>
  </si>
  <si>
    <t>27/04/2018</t>
  </si>
  <si>
    <t>26/04/2018</t>
  </si>
  <si>
    <t>25/04/2018</t>
  </si>
  <si>
    <t>24/04/2018</t>
  </si>
  <si>
    <t>23/04/2018</t>
  </si>
  <si>
    <t>22/04/2018</t>
  </si>
  <si>
    <t>21/04/2018</t>
  </si>
  <si>
    <t>20/04/2018</t>
  </si>
  <si>
    <t>19/04/2018</t>
  </si>
  <si>
    <t>18/04/2018</t>
  </si>
  <si>
    <t>17/04/2018</t>
  </si>
  <si>
    <t>16/04/2018</t>
  </si>
  <si>
    <t>15/04/2018</t>
  </si>
  <si>
    <t>14/04/2018</t>
  </si>
  <si>
    <t>27/03/2018</t>
  </si>
  <si>
    <t>28/03/2018</t>
  </si>
  <si>
    <t>13/04/2018</t>
  </si>
  <si>
    <t>26/03/2018</t>
  </si>
  <si>
    <t>29/03/2018</t>
  </si>
  <si>
    <t>30/03/2018</t>
  </si>
  <si>
    <t>31/03/2018</t>
  </si>
  <si>
    <t>24/03/2018</t>
  </si>
  <si>
    <t>25/03/2018</t>
  </si>
  <si>
    <t>01/04/2018</t>
  </si>
  <si>
    <t>12/04/2018</t>
  </si>
  <si>
    <t>23/03/2018</t>
  </si>
  <si>
    <t>02/04/2018</t>
  </si>
  <si>
    <t>20/03/2018</t>
  </si>
  <si>
    <t>21/03/2018</t>
  </si>
  <si>
    <t>22/03/2018</t>
  </si>
  <si>
    <t>03/04/2018</t>
  </si>
  <si>
    <t>11/04/2018</t>
  </si>
  <si>
    <t>19/03/2018</t>
  </si>
  <si>
    <t>04/04/2018</t>
  </si>
  <si>
    <t>10/04/2018</t>
  </si>
  <si>
    <t>17/03/2018</t>
  </si>
  <si>
    <t>18/03/2018</t>
  </si>
  <si>
    <t>05/04/2018</t>
  </si>
  <si>
    <t>06/04/2018</t>
  </si>
  <si>
    <t>07/04/2018</t>
  </si>
  <si>
    <t>16/03/2018</t>
  </si>
  <si>
    <t>08/04/2018</t>
  </si>
  <si>
    <t>01/03/2018</t>
  </si>
  <si>
    <t>09/04/2018</t>
  </si>
  <si>
    <t>15/03/2018</t>
  </si>
  <si>
    <t>02/03/2018</t>
  </si>
  <si>
    <t>13/03/2018</t>
  </si>
  <si>
    <t>14/03/2018</t>
  </si>
  <si>
    <t>12/03/2018</t>
  </si>
  <si>
    <t>03/03/2018</t>
  </si>
  <si>
    <t>11/03/2018</t>
  </si>
  <si>
    <t>10/03/2018</t>
  </si>
  <si>
    <t>05/03/2018</t>
  </si>
  <si>
    <t>06/03/2018</t>
  </si>
  <si>
    <t>09/03/2018</t>
  </si>
  <si>
    <t>07/03/2018</t>
  </si>
  <si>
    <t>08/03/2018</t>
  </si>
  <si>
    <t>GRAFICO</t>
  </si>
  <si>
    <t>Y</t>
  </si>
  <si>
    <t>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</si>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</sst>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14" fontId="2" fillId="2" borderId="2" applyProtection="0">
      <alignment horizontal="left"/>
    </xf>
    <xf numFmtId="0" fontId="2" fillId="2" borderId="2" applyNumberFormat="0" applyProtection="0">
      <alignment horizontal="center"/>
    </xf>
    <xf numFmtId="0" fontId="2" fillId="3" borderId="2" applyNumberFormat="0" applyProtection="0">
      <alignment horizontal="center"/>
    </xf>
    <xf numFmtId="0" fontId="2" fillId="3" borderId="2" applyNumberFormat="0" applyProtection="0">
      <alignment horizontal="center"/>
    </xf>
    <xf numFmtId="0" fontId="2" fillId="2" borderId="2" applyNumberFormat="0" applyProtection="0">
      <alignment horizontal="center"/>
    </xf>
  </cellStyleXfs>
  <cellXfs count="43">
    <xf numFmtId="0" fontId="0" fillId="0" borderId="0" xfId="0"/>
    <xf numFmtId="0" fontId="0" fillId="0" borderId="1" xfId="0" applyFill="1" applyBorder="1" applyAlignment="1">
      <alignment horizontal="left"/>
    </xf>
    <xf numFmtId="14" fontId="2" fillId="0" borderId="1" xfId="1" applyNumberFormat="1" applyFont="1" applyFill="1" applyBorder="1" applyAlignment="1">
      <alignment horizontal="left"/>
    </xf>
    <xf numFmtId="0" fontId="2" fillId="0" borderId="1" xfId="2" applyFont="1" applyFill="1" applyBorder="1" applyAlignment="1">
      <alignment horizontal="left"/>
    </xf>
    <xf numFmtId="0" fontId="2" fillId="0" borderId="1" xfId="3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1" xfId="4" applyFont="1" applyFill="1" applyBorder="1" applyAlignment="1">
      <alignment horizontal="left"/>
    </xf>
    <xf numFmtId="0" fontId="0" fillId="0" borderId="0" xfId="0" applyFill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2" fillId="0" borderId="1" xfId="5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left"/>
    </xf>
    <xf numFmtId="0" fontId="2" fillId="0" borderId="5" xfId="4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3" fillId="4" borderId="0" xfId="0" applyFont="1" applyFill="1" applyBorder="1" applyAlignment="1"/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0" borderId="4" xfId="0" applyBorder="1"/>
    <xf numFmtId="0" fontId="0" fillId="5" borderId="5" xfId="0" applyFill="1" applyBorder="1" applyAlignment="1"/>
    <xf numFmtId="0" fontId="0" fillId="5" borderId="6" xfId="0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5" borderId="12" xfId="0" applyFont="1" applyFill="1" applyBorder="1" applyAlignment="1"/>
    <xf numFmtId="0" fontId="1" fillId="0" borderId="0" xfId="0" applyFont="1" applyFill="1" applyBorder="1" applyAlignment="1"/>
    <xf numFmtId="0" fontId="1" fillId="5" borderId="3" xfId="0" applyFont="1" applyFill="1" applyBorder="1"/>
    <xf numFmtId="0" fontId="1" fillId="5" borderId="3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</cellXfs>
  <cellStyles count="6">
    <cellStyle name="Normal" xfId="0" builtinId="0"/>
    <cellStyle name="xls-style-2" xfId="1" xr:uid="{00000000-0005-0000-0000-000001000000}"/>
    <cellStyle name="xls-style-3" xfId="4" xr:uid="{00000000-0005-0000-0000-000002000000}"/>
    <cellStyle name="xls-style-3 2" xfId="2" xr:uid="{00000000-0005-0000-0000-000003000000}"/>
    <cellStyle name="xls-style-4" xfId="5" xr:uid="{00000000-0005-0000-0000-000004000000}"/>
    <cellStyle name="xls-style-4 2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Volume (hm³)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'Represa _ Jaguari Jacareí'!$T$2:$T$3</c:f>
              <c:strCache>
                <c:ptCount val="2"/>
                <c:pt idx="0">
                  <c:v>GRAFICO</c:v>
                </c:pt>
                <c:pt idx="1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'Represa _ Jaguari Jacareí'!$S$4:$S$10</c:f>
              <c:numCache>
                <c:formatCode>General</c:formatCode>
                <c:ptCount val="7"/>
                <c:pt idx="0">
                  <c:v>358</c:v>
                </c:pt>
                <c:pt idx="1">
                  <c:v>372</c:v>
                </c:pt>
                <c:pt idx="2">
                  <c:v>386</c:v>
                </c:pt>
                <c:pt idx="3">
                  <c:v>400</c:v>
                </c:pt>
                <c:pt idx="4">
                  <c:v>414</c:v>
                </c:pt>
                <c:pt idx="5">
                  <c:v>428</c:v>
                </c:pt>
                <c:pt idx="6">
                  <c:v>442</c:v>
                </c:pt>
              </c:numCache>
            </c:numRef>
          </c:cat>
          <c:val>
            <c:numRef>
              <c:f>'Represa _ Jaguari Jacareí'!$T$4:$T$10</c:f>
              <c:numCache>
                <c:formatCode>General</c:formatCode>
                <c:ptCount val="7"/>
                <c:pt idx="0">
                  <c:v>8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17</c:v>
                </c:pt>
                <c:pt idx="6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A-4812-BD02-818D49C44A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374016336"/>
        <c:axId val="374014040"/>
      </c:lineChart>
      <c:catAx>
        <c:axId val="37401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4014040"/>
        <c:crosses val="autoZero"/>
        <c:auto val="1"/>
        <c:lblAlgn val="ctr"/>
        <c:lblOffset val="100"/>
        <c:noMultiLvlLbl val="0"/>
      </c:catAx>
      <c:valAx>
        <c:axId val="374014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7401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(hm</a:t>
            </a:r>
            <a:r>
              <a:rPr lang="pt-BR"/>
              <a:t>³)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'Represa _ Jaguari Jacareí'!$T$2:$T$3</c:f>
              <c:strCache>
                <c:ptCount val="2"/>
                <c:pt idx="0">
                  <c:v>GRAFICO</c:v>
                </c:pt>
                <c:pt idx="1">
                  <c:v>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'Represa _ Jaguari Jacareí'!$S$4:$S$10</c:f>
              <c:numCache>
                <c:formatCode>General</c:formatCode>
                <c:ptCount val="7"/>
                <c:pt idx="0">
                  <c:v>358</c:v>
                </c:pt>
                <c:pt idx="1">
                  <c:v>372</c:v>
                </c:pt>
                <c:pt idx="2">
                  <c:v>386</c:v>
                </c:pt>
                <c:pt idx="3">
                  <c:v>400</c:v>
                </c:pt>
                <c:pt idx="4">
                  <c:v>414</c:v>
                </c:pt>
                <c:pt idx="5">
                  <c:v>428</c:v>
                </c:pt>
                <c:pt idx="6">
                  <c:v>442</c:v>
                </c:pt>
              </c:numCache>
            </c:numRef>
          </c:cat>
          <c:val>
            <c:numRef>
              <c:f>'Represa _ Jaguari Jacareí'!$T$4:$T$10</c:f>
              <c:numCache>
                <c:formatCode>General</c:formatCode>
                <c:ptCount val="7"/>
                <c:pt idx="0">
                  <c:v>8</c:v>
                </c:pt>
                <c:pt idx="1">
                  <c:v>11</c:v>
                </c:pt>
                <c:pt idx="2">
                  <c:v>9</c:v>
                </c:pt>
                <c:pt idx="3">
                  <c:v>7</c:v>
                </c:pt>
                <c:pt idx="4">
                  <c:v>7</c:v>
                </c:pt>
                <c:pt idx="5">
                  <c:v>17</c:v>
                </c:pt>
                <c:pt idx="6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5-4EF3-97BC-4483232F2AC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42239024"/>
        <c:axId val="442235744"/>
      </c:barChart>
      <c:catAx>
        <c:axId val="44223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235744"/>
        <c:crosses val="autoZero"/>
        <c:auto val="1"/>
        <c:lblAlgn val="ctr"/>
        <c:lblOffset val="100"/>
        <c:noMultiLvlLbl val="0"/>
      </c:catAx>
      <c:valAx>
        <c:axId val="4422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223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54426</xdr:colOff>
      <xdr:row>0</xdr:row>
      <xdr:rowOff>27215</xdr:rowOff>
    </xdr:from>
    <xdr:to>
      <xdr:col>22</xdr:col>
      <xdr:colOff>449035</xdr:colOff>
      <xdr:row>14</xdr:row>
      <xdr:rowOff>176892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935F0F7-C46F-44B0-B59F-F2934046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61231</xdr:colOff>
      <xdr:row>15</xdr:row>
      <xdr:rowOff>84364</xdr:rowOff>
    </xdr:from>
    <xdr:to>
      <xdr:col>22</xdr:col>
      <xdr:colOff>435426</xdr:colOff>
      <xdr:row>30</xdr:row>
      <xdr:rowOff>40819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0A38E4-6880-4280-932A-54A7DCE00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zoomScale="80" zoomScaleNormal="80" workbookViewId="0">
      <selection activeCell="O12" sqref="O12"/>
    </sheetView>
  </sheetViews>
  <sheetFormatPr defaultRowHeight="15" x14ac:dyDescent="0.25"/>
  <cols>
    <col min="1" max="1" width="5" style="13" customWidth="1"/>
    <col min="2" max="2" width="11" style="13" customWidth="1"/>
    <col min="3" max="4" width="9.140625" style="13"/>
    <col min="5" max="5" width="9.140625" style="19"/>
    <col min="7" max="7" width="12.85546875" customWidth="1"/>
    <col min="8" max="8" width="14" customWidth="1"/>
    <col min="11" max="11" width="11" customWidth="1"/>
    <col min="13" max="13" width="10" bestFit="1" customWidth="1"/>
    <col min="14" max="14" width="11" customWidth="1"/>
    <col min="15" max="15" width="14.7109375" customWidth="1"/>
  </cols>
  <sheetData>
    <row r="1" spans="1:20" x14ac:dyDescent="0.25">
      <c r="A1" s="1">
        <v>1</v>
      </c>
      <c r="B1" s="2" t="s">
        <v>0</v>
      </c>
      <c r="C1" s="3">
        <v>358.00207869069357</v>
      </c>
      <c r="D1" s="16">
        <f t="shared" ref="D1:D32" si="0">ROUND(C1,0)</f>
        <v>358</v>
      </c>
      <c r="E1" s="33"/>
      <c r="F1" s="32" t="s">
        <v>1</v>
      </c>
      <c r="G1" s="34" t="s">
        <v>2</v>
      </c>
      <c r="H1" s="34"/>
      <c r="I1" s="21" t="s">
        <v>3</v>
      </c>
      <c r="J1" s="21" t="s">
        <v>4</v>
      </c>
      <c r="K1" s="21" t="s">
        <v>5</v>
      </c>
      <c r="L1" s="21" t="s">
        <v>6</v>
      </c>
      <c r="M1" s="21" t="s">
        <v>7</v>
      </c>
      <c r="N1" s="21" t="s">
        <v>8</v>
      </c>
      <c r="O1" s="21" t="s">
        <v>9</v>
      </c>
      <c r="Q1" s="29"/>
      <c r="R1" s="29"/>
      <c r="S1" s="14"/>
    </row>
    <row r="2" spans="1:20" x14ac:dyDescent="0.25">
      <c r="A2" s="1">
        <v>2</v>
      </c>
      <c r="B2" s="2" t="s">
        <v>10</v>
      </c>
      <c r="C2" s="4">
        <v>359.80217092751627</v>
      </c>
      <c r="D2" s="16">
        <f t="shared" si="0"/>
        <v>360</v>
      </c>
      <c r="E2" s="33"/>
      <c r="F2" s="18">
        <v>1</v>
      </c>
      <c r="G2" s="5">
        <f>(D1)</f>
        <v>358</v>
      </c>
      <c r="H2" s="5">
        <f>(G2+12)</f>
        <v>370</v>
      </c>
      <c r="I2" s="5">
        <v>8</v>
      </c>
      <c r="J2" s="5">
        <f>(H2-G2)/2+G2</f>
        <v>364</v>
      </c>
      <c r="K2" s="5">
        <f>(J2*I2)</f>
        <v>2912</v>
      </c>
      <c r="L2" s="5">
        <f>(I2)</f>
        <v>8</v>
      </c>
      <c r="M2" s="5">
        <f>(J2-I21)</f>
        <v>-47</v>
      </c>
      <c r="N2" s="5">
        <f>(M2^2)</f>
        <v>2209</v>
      </c>
      <c r="O2" s="5">
        <f>(M2^4)</f>
        <v>4879681</v>
      </c>
      <c r="Q2" s="29"/>
      <c r="R2" s="29"/>
      <c r="S2" s="41" t="s">
        <v>123</v>
      </c>
      <c r="T2" s="42"/>
    </row>
    <row r="3" spans="1:20" x14ac:dyDescent="0.25">
      <c r="A3" s="1">
        <v>3</v>
      </c>
      <c r="B3" s="2" t="s">
        <v>11</v>
      </c>
      <c r="C3" s="3">
        <v>361.24460457267696</v>
      </c>
      <c r="D3" s="17">
        <f t="shared" si="0"/>
        <v>361</v>
      </c>
      <c r="E3" s="33"/>
      <c r="F3" s="18">
        <v>2</v>
      </c>
      <c r="G3" s="5">
        <f>(H2)</f>
        <v>370</v>
      </c>
      <c r="H3" s="5">
        <f>(G3+12)</f>
        <v>382</v>
      </c>
      <c r="I3" s="5">
        <v>11</v>
      </c>
      <c r="J3" s="5">
        <f>(H3-G3)/2+G3</f>
        <v>376</v>
      </c>
      <c r="K3" s="5">
        <f>(J3*I3)</f>
        <v>4136</v>
      </c>
      <c r="L3" s="5">
        <f t="shared" ref="L3:L8" si="1">(L2+I3)</f>
        <v>19</v>
      </c>
      <c r="M3" s="5">
        <f>(J3-I21)</f>
        <v>-35</v>
      </c>
      <c r="N3" s="5">
        <f>(M3^2)</f>
        <v>1225</v>
      </c>
      <c r="O3" s="5">
        <f>(M3^4)</f>
        <v>1500625</v>
      </c>
      <c r="Q3" s="29"/>
      <c r="R3" s="29"/>
      <c r="S3" s="22" t="s">
        <v>125</v>
      </c>
      <c r="T3" s="22" t="s">
        <v>124</v>
      </c>
    </row>
    <row r="4" spans="1:20" x14ac:dyDescent="0.25">
      <c r="A4" s="1">
        <v>4</v>
      </c>
      <c r="B4" s="2" t="s">
        <v>12</v>
      </c>
      <c r="C4" s="4">
        <v>362.68913681284994</v>
      </c>
      <c r="D4" s="16">
        <f t="shared" si="0"/>
        <v>363</v>
      </c>
      <c r="E4" s="33"/>
      <c r="F4" s="18">
        <v>3</v>
      </c>
      <c r="G4" s="5">
        <f>(H3)</f>
        <v>382</v>
      </c>
      <c r="H4" s="5">
        <f>(G4+12)</f>
        <v>394</v>
      </c>
      <c r="I4" s="5">
        <v>9</v>
      </c>
      <c r="J4" s="5">
        <f>(H4-G4)/2+G4</f>
        <v>388</v>
      </c>
      <c r="K4" s="5">
        <f>(J4*I4)</f>
        <v>3492</v>
      </c>
      <c r="L4" s="5">
        <f t="shared" si="1"/>
        <v>28</v>
      </c>
      <c r="M4" s="5">
        <f>(J4-I21)</f>
        <v>-23</v>
      </c>
      <c r="N4" s="5">
        <f>(M4^2)</f>
        <v>529</v>
      </c>
      <c r="O4" s="5">
        <f>(M4^4)</f>
        <v>279841</v>
      </c>
      <c r="Q4" s="29"/>
      <c r="R4" s="29"/>
      <c r="S4" s="15">
        <v>358</v>
      </c>
      <c r="T4" s="15">
        <v>8</v>
      </c>
    </row>
    <row r="5" spans="1:20" x14ac:dyDescent="0.25">
      <c r="A5" s="1">
        <v>5</v>
      </c>
      <c r="B5" s="2" t="s">
        <v>13</v>
      </c>
      <c r="C5" s="3">
        <v>364.13576851267214</v>
      </c>
      <c r="D5" s="16">
        <f t="shared" si="0"/>
        <v>364</v>
      </c>
      <c r="E5" s="33"/>
      <c r="F5" s="18">
        <v>4</v>
      </c>
      <c r="G5" s="5">
        <f t="shared" ref="G5:G8" si="2">(H4)</f>
        <v>394</v>
      </c>
      <c r="H5" s="5">
        <f t="shared" ref="H5:H8" si="3">(G5+12)</f>
        <v>406</v>
      </c>
      <c r="I5" s="5">
        <v>7</v>
      </c>
      <c r="J5" s="5">
        <f t="shared" ref="J5:J8" si="4">(H5-G5)/2+G5</f>
        <v>400</v>
      </c>
      <c r="K5" s="5">
        <f t="shared" ref="K5:K8" si="5">(J5*I5)</f>
        <v>2800</v>
      </c>
      <c r="L5" s="5">
        <f t="shared" si="1"/>
        <v>35</v>
      </c>
      <c r="M5" s="5">
        <f>(J5-I21)</f>
        <v>-11</v>
      </c>
      <c r="N5" s="5">
        <f t="shared" ref="N5:N8" si="6">(M5^2)</f>
        <v>121</v>
      </c>
      <c r="O5" s="5">
        <f t="shared" ref="O5:O8" si="7">(M5^4)</f>
        <v>14641</v>
      </c>
      <c r="Q5" s="29"/>
      <c r="R5" s="29"/>
      <c r="S5" s="15">
        <f>(S4+14)</f>
        <v>372</v>
      </c>
      <c r="T5" s="15">
        <v>11</v>
      </c>
    </row>
    <row r="6" spans="1:20" x14ac:dyDescent="0.25">
      <c r="A6" s="1">
        <v>6</v>
      </c>
      <c r="B6" s="2" t="s">
        <v>14</v>
      </c>
      <c r="C6" s="4">
        <v>365.58450052906403</v>
      </c>
      <c r="D6" s="17">
        <f t="shared" si="0"/>
        <v>366</v>
      </c>
      <c r="E6" s="33"/>
      <c r="F6" s="18">
        <v>5</v>
      </c>
      <c r="G6" s="5">
        <f t="shared" si="2"/>
        <v>406</v>
      </c>
      <c r="H6" s="5">
        <f t="shared" si="3"/>
        <v>418</v>
      </c>
      <c r="I6" s="5">
        <v>7</v>
      </c>
      <c r="J6" s="5">
        <f t="shared" si="4"/>
        <v>412</v>
      </c>
      <c r="K6" s="5">
        <f t="shared" si="5"/>
        <v>2884</v>
      </c>
      <c r="L6" s="5">
        <f t="shared" si="1"/>
        <v>42</v>
      </c>
      <c r="M6" s="5">
        <f>(J6-I21)</f>
        <v>1</v>
      </c>
      <c r="N6" s="5">
        <f t="shared" si="6"/>
        <v>1</v>
      </c>
      <c r="O6" s="5">
        <f t="shared" si="7"/>
        <v>1</v>
      </c>
      <c r="Q6" s="29"/>
      <c r="R6" s="29"/>
      <c r="S6" s="15">
        <f>(S5+14)</f>
        <v>386</v>
      </c>
      <c r="T6" s="15">
        <v>9</v>
      </c>
    </row>
    <row r="7" spans="1:20" x14ac:dyDescent="0.25">
      <c r="A7" s="1">
        <v>7</v>
      </c>
      <c r="B7" s="2" t="s">
        <v>15</v>
      </c>
      <c r="C7" s="3">
        <v>367.3983704126025</v>
      </c>
      <c r="D7" s="16">
        <f t="shared" si="0"/>
        <v>367</v>
      </c>
      <c r="E7" s="33"/>
      <c r="F7" s="18">
        <v>6</v>
      </c>
      <c r="G7" s="5">
        <f t="shared" si="2"/>
        <v>418</v>
      </c>
      <c r="H7" s="5">
        <f t="shared" si="3"/>
        <v>430</v>
      </c>
      <c r="I7" s="5">
        <v>17</v>
      </c>
      <c r="J7" s="5">
        <f t="shared" si="4"/>
        <v>424</v>
      </c>
      <c r="K7" s="5">
        <f t="shared" si="5"/>
        <v>7208</v>
      </c>
      <c r="L7" s="5">
        <f t="shared" si="1"/>
        <v>59</v>
      </c>
      <c r="M7" s="5">
        <f>(J7-I21)</f>
        <v>13</v>
      </c>
      <c r="N7" s="5">
        <f t="shared" si="6"/>
        <v>169</v>
      </c>
      <c r="O7" s="5">
        <f t="shared" si="7"/>
        <v>28561</v>
      </c>
      <c r="Q7" s="29"/>
      <c r="R7" s="29"/>
      <c r="S7" s="15">
        <f t="shared" ref="S7:S10" si="8">(S6+14)</f>
        <v>400</v>
      </c>
      <c r="T7" s="15">
        <v>7</v>
      </c>
    </row>
    <row r="8" spans="1:20" x14ac:dyDescent="0.25">
      <c r="A8" s="1">
        <v>8</v>
      </c>
      <c r="B8" s="2" t="s">
        <v>16</v>
      </c>
      <c r="C8" s="4">
        <v>368.85183123405352</v>
      </c>
      <c r="D8" s="17">
        <f t="shared" si="0"/>
        <v>369</v>
      </c>
      <c r="E8" s="33"/>
      <c r="F8" s="18">
        <v>7</v>
      </c>
      <c r="G8" s="5">
        <f t="shared" si="2"/>
        <v>430</v>
      </c>
      <c r="H8" s="5">
        <f t="shared" si="3"/>
        <v>442</v>
      </c>
      <c r="I8" s="5">
        <v>33</v>
      </c>
      <c r="J8" s="5">
        <f t="shared" si="4"/>
        <v>436</v>
      </c>
      <c r="K8" s="5">
        <f t="shared" si="5"/>
        <v>14388</v>
      </c>
      <c r="L8" s="5">
        <f t="shared" si="1"/>
        <v>92</v>
      </c>
      <c r="M8" s="5">
        <f>(J8-I21)</f>
        <v>25</v>
      </c>
      <c r="N8" s="5">
        <f t="shared" si="6"/>
        <v>625</v>
      </c>
      <c r="O8" s="5">
        <f t="shared" si="7"/>
        <v>390625</v>
      </c>
      <c r="Q8" s="29"/>
      <c r="R8" s="29"/>
      <c r="S8" s="15">
        <f t="shared" si="8"/>
        <v>414</v>
      </c>
      <c r="T8" s="15">
        <v>7</v>
      </c>
    </row>
    <row r="9" spans="1:20" x14ac:dyDescent="0.25">
      <c r="A9" s="1">
        <v>9</v>
      </c>
      <c r="B9" s="2" t="s">
        <v>17</v>
      </c>
      <c r="C9" s="4">
        <v>370.45306718945949</v>
      </c>
      <c r="D9" s="16">
        <f t="shared" si="0"/>
        <v>370</v>
      </c>
      <c r="E9" s="33"/>
      <c r="F9" s="18" t="s">
        <v>126</v>
      </c>
      <c r="G9" s="35"/>
      <c r="H9" s="35"/>
      <c r="I9" s="5">
        <f>SUM(I2:I8)</f>
        <v>92</v>
      </c>
      <c r="J9" s="20"/>
      <c r="K9" s="5">
        <f>SUM(K2:K8)</f>
        <v>37820</v>
      </c>
      <c r="L9" s="35"/>
      <c r="M9" s="35"/>
      <c r="N9" s="5">
        <f>SUM(N2:N8)</f>
        <v>4879</v>
      </c>
      <c r="O9" s="5">
        <f>SUM(O2:O8)</f>
        <v>7093975</v>
      </c>
      <c r="Q9" s="29"/>
      <c r="R9" s="29"/>
      <c r="S9" s="15">
        <f t="shared" si="8"/>
        <v>428</v>
      </c>
      <c r="T9" s="15">
        <v>17</v>
      </c>
    </row>
    <row r="10" spans="1:20" x14ac:dyDescent="0.25">
      <c r="A10" s="1">
        <v>10</v>
      </c>
      <c r="B10" s="2" t="s">
        <v>18</v>
      </c>
      <c r="C10" s="3">
        <v>369.57935023599066</v>
      </c>
      <c r="D10" s="16">
        <f t="shared" si="0"/>
        <v>370</v>
      </c>
      <c r="E10" s="33"/>
      <c r="G10" s="7"/>
      <c r="H10" s="7"/>
      <c r="I10" s="7"/>
      <c r="S10" s="15">
        <f t="shared" si="8"/>
        <v>442</v>
      </c>
      <c r="T10" s="15">
        <v>33</v>
      </c>
    </row>
    <row r="11" spans="1:20" x14ac:dyDescent="0.25">
      <c r="A11" s="1">
        <v>11</v>
      </c>
      <c r="B11" s="2" t="s">
        <v>19</v>
      </c>
      <c r="C11" s="3">
        <v>371.40044862571301</v>
      </c>
      <c r="D11" s="17">
        <f t="shared" si="0"/>
        <v>371</v>
      </c>
      <c r="E11" s="33"/>
      <c r="G11" s="8" t="s">
        <v>20</v>
      </c>
      <c r="H11" s="8">
        <f>SQRT(I9)</f>
        <v>9.5916630466254382</v>
      </c>
      <c r="I11" s="8">
        <f>ROUND(H11,0)</f>
        <v>10</v>
      </c>
      <c r="J11" s="36"/>
    </row>
    <row r="12" spans="1:20" x14ac:dyDescent="0.25">
      <c r="A12" s="1">
        <v>12</v>
      </c>
      <c r="B12" s="2" t="s">
        <v>21</v>
      </c>
      <c r="C12" s="4">
        <v>372.12980860415382</v>
      </c>
      <c r="D12" s="16">
        <f t="shared" si="0"/>
        <v>372</v>
      </c>
      <c r="E12" s="33"/>
      <c r="G12" s="8" t="s">
        <v>22</v>
      </c>
      <c r="H12" s="8">
        <v>1.645</v>
      </c>
      <c r="I12" s="26"/>
      <c r="J12" s="36"/>
    </row>
    <row r="13" spans="1:20" x14ac:dyDescent="0.25">
      <c r="A13" s="1">
        <v>13</v>
      </c>
      <c r="B13" s="2" t="s">
        <v>23</v>
      </c>
      <c r="C13" s="3">
        <v>373.22483527053294</v>
      </c>
      <c r="D13" s="16">
        <f t="shared" si="0"/>
        <v>373</v>
      </c>
      <c r="E13" s="33"/>
      <c r="G13" s="9" t="s">
        <v>24</v>
      </c>
      <c r="H13" s="9">
        <f>(J6)</f>
        <v>412</v>
      </c>
      <c r="I13" s="27"/>
      <c r="J13" s="36"/>
    </row>
    <row r="14" spans="1:20" x14ac:dyDescent="0.25">
      <c r="A14" s="1">
        <v>14</v>
      </c>
      <c r="B14" s="2" t="s">
        <v>25</v>
      </c>
      <c r="C14" s="4">
        <v>374.21137187195257</v>
      </c>
      <c r="D14" s="17">
        <f t="shared" si="0"/>
        <v>374</v>
      </c>
      <c r="E14" s="33"/>
      <c r="G14" s="9" t="s">
        <v>26</v>
      </c>
      <c r="H14" s="9">
        <f>(G6+((I6-I5)*I20)/(2*I6-I5-I7))</f>
        <v>406</v>
      </c>
      <c r="I14" s="27"/>
      <c r="J14" s="36"/>
    </row>
    <row r="15" spans="1:20" x14ac:dyDescent="0.25">
      <c r="A15" s="1">
        <v>15</v>
      </c>
      <c r="B15" s="2" t="s">
        <v>27</v>
      </c>
      <c r="C15" s="3">
        <v>375.30864907451871</v>
      </c>
      <c r="D15" s="16">
        <f t="shared" si="0"/>
        <v>375</v>
      </c>
      <c r="E15" s="33"/>
      <c r="G15" s="24"/>
      <c r="H15" s="25"/>
      <c r="I15" s="27"/>
      <c r="J15" s="36"/>
      <c r="K15" s="30" t="s">
        <v>28</v>
      </c>
      <c r="L15" s="30" t="s">
        <v>29</v>
      </c>
      <c r="M15" s="30" t="s">
        <v>30</v>
      </c>
      <c r="N15" s="31" t="s">
        <v>31</v>
      </c>
    </row>
    <row r="16" spans="1:20" x14ac:dyDescent="0.25">
      <c r="A16" s="1">
        <v>16</v>
      </c>
      <c r="B16" s="2" t="s">
        <v>32</v>
      </c>
      <c r="C16" s="4">
        <v>376.51702266226732</v>
      </c>
      <c r="D16" s="16">
        <f t="shared" si="0"/>
        <v>377</v>
      </c>
      <c r="E16" s="33"/>
      <c r="G16" s="9" t="s">
        <v>33</v>
      </c>
      <c r="H16" s="9">
        <f>(D92-D1)</f>
        <v>83</v>
      </c>
      <c r="I16" s="28"/>
      <c r="J16" s="37"/>
      <c r="K16" s="10" t="s">
        <v>34</v>
      </c>
      <c r="L16" s="10">
        <f>SQRT(N9/(I9-1))</f>
        <v>7.3222527008690852</v>
      </c>
      <c r="M16" s="10">
        <f>ROUND(L16,0)</f>
        <v>7</v>
      </c>
      <c r="N16" s="10">
        <f>(L16^4)</f>
        <v>2874.6094674556211</v>
      </c>
    </row>
    <row r="17" spans="1:14" x14ac:dyDescent="0.25">
      <c r="A17" s="1">
        <v>17</v>
      </c>
      <c r="B17" s="2" t="s">
        <v>35</v>
      </c>
      <c r="C17" s="3">
        <v>377.76351375740978</v>
      </c>
      <c r="D17" s="17">
        <f t="shared" si="0"/>
        <v>378</v>
      </c>
      <c r="E17" s="33"/>
      <c r="G17" s="9" t="s">
        <v>36</v>
      </c>
      <c r="H17" s="9">
        <f>(3.3*H19)+1</f>
        <v>7.4804998302403325</v>
      </c>
      <c r="I17" s="9">
        <f>ROUND(H17,0)</f>
        <v>7</v>
      </c>
      <c r="J17" s="37"/>
      <c r="K17" s="23" t="s">
        <v>37</v>
      </c>
      <c r="L17" s="23">
        <f>(H21+L16)</f>
        <v>418.40920922260818</v>
      </c>
      <c r="M17" s="23">
        <f>ROUND(L17,0)</f>
        <v>418</v>
      </c>
      <c r="N17" s="23"/>
    </row>
    <row r="18" spans="1:14" x14ac:dyDescent="0.25">
      <c r="A18" s="1">
        <v>18</v>
      </c>
      <c r="B18" s="2" t="s">
        <v>38</v>
      </c>
      <c r="C18" s="4">
        <v>379.08498787606914</v>
      </c>
      <c r="D18" s="16">
        <f t="shared" si="0"/>
        <v>379</v>
      </c>
      <c r="E18" s="33"/>
      <c r="G18" s="9" t="s">
        <v>39</v>
      </c>
      <c r="H18" s="9">
        <v>92</v>
      </c>
      <c r="I18" s="38"/>
      <c r="J18" s="37"/>
      <c r="K18" s="9" t="s">
        <v>40</v>
      </c>
      <c r="L18" s="9">
        <f>(H21-L16)</f>
        <v>403.76470382087007</v>
      </c>
      <c r="M18" s="9">
        <f>ROUND(L18,0)</f>
        <v>404</v>
      </c>
      <c r="N18" s="9"/>
    </row>
    <row r="19" spans="1:14" x14ac:dyDescent="0.25">
      <c r="A19" s="1">
        <v>19</v>
      </c>
      <c r="B19" s="2" t="s">
        <v>41</v>
      </c>
      <c r="C19" s="3">
        <v>380.33461505984098</v>
      </c>
      <c r="D19" s="16">
        <f t="shared" si="0"/>
        <v>380</v>
      </c>
      <c r="E19" s="33"/>
      <c r="G19" s="9" t="s">
        <v>42</v>
      </c>
      <c r="H19" s="9">
        <f>LOG(H18)</f>
        <v>1.9637878273455553</v>
      </c>
      <c r="I19" s="39"/>
      <c r="J19" s="37"/>
      <c r="K19" s="10" t="s">
        <v>43</v>
      </c>
      <c r="L19" s="9">
        <f>(H21+H12*L16/H11)</f>
        <v>412.34274559964751</v>
      </c>
      <c r="M19" s="9">
        <f>ROUND(L19,0)</f>
        <v>412</v>
      </c>
      <c r="N19" s="9"/>
    </row>
    <row r="20" spans="1:14" x14ac:dyDescent="0.25">
      <c r="A20" s="1">
        <v>20</v>
      </c>
      <c r="B20" s="2" t="s">
        <v>44</v>
      </c>
      <c r="C20" s="4">
        <v>381.54894588990908</v>
      </c>
      <c r="D20" s="17">
        <f t="shared" si="0"/>
        <v>382</v>
      </c>
      <c r="E20" s="33"/>
      <c r="G20" s="9" t="s">
        <v>45</v>
      </c>
      <c r="H20" s="9">
        <f>(H16/I17)</f>
        <v>11.857142857142858</v>
      </c>
      <c r="I20" s="9">
        <f>ROUND(H20,0)</f>
        <v>12</v>
      </c>
      <c r="J20" s="37"/>
      <c r="K20" s="10" t="s">
        <v>46</v>
      </c>
      <c r="L20" s="9">
        <f>(H21-H12*L16/H11)</f>
        <v>409.83116744383074</v>
      </c>
      <c r="M20" s="10">
        <f>ROUND(L20,0)</f>
        <v>410</v>
      </c>
      <c r="N20" s="9"/>
    </row>
    <row r="21" spans="1:14" x14ac:dyDescent="0.25">
      <c r="A21" s="1">
        <v>21</v>
      </c>
      <c r="B21" s="2" t="s">
        <v>47</v>
      </c>
      <c r="C21" s="3">
        <v>382.8015766296819</v>
      </c>
      <c r="D21" s="16">
        <f t="shared" si="0"/>
        <v>383</v>
      </c>
      <c r="E21" s="33"/>
      <c r="G21" s="9" t="s">
        <v>48</v>
      </c>
      <c r="H21" s="9">
        <f>(K9/I9)</f>
        <v>411.08695652173913</v>
      </c>
      <c r="I21" s="9">
        <f>ROUND(H21,0)</f>
        <v>411</v>
      </c>
      <c r="J21" s="37"/>
      <c r="K21" s="10" t="s">
        <v>49</v>
      </c>
      <c r="L21" s="9">
        <f>(O9/H18*N16)</f>
        <v>221656605.40101618</v>
      </c>
      <c r="M21" s="10">
        <v>8</v>
      </c>
      <c r="N21" s="9" t="s">
        <v>50</v>
      </c>
    </row>
    <row r="22" spans="1:14" x14ac:dyDescent="0.25">
      <c r="A22" s="1">
        <v>22</v>
      </c>
      <c r="B22" s="2" t="s">
        <v>51</v>
      </c>
      <c r="C22" s="4">
        <v>384.24029554162519</v>
      </c>
      <c r="D22" s="17">
        <f t="shared" si="0"/>
        <v>384</v>
      </c>
      <c r="E22" s="33"/>
      <c r="G22" s="40"/>
      <c r="H22" s="40"/>
      <c r="I22" s="40"/>
      <c r="K22" s="10" t="s">
        <v>52</v>
      </c>
      <c r="L22" s="9">
        <f>((H21-H14)/L16)</f>
        <v>0.69472561649440889</v>
      </c>
      <c r="M22" s="9">
        <f>ROUND(L22,0)</f>
        <v>1</v>
      </c>
      <c r="N22" s="9" t="s">
        <v>53</v>
      </c>
    </row>
    <row r="23" spans="1:14" x14ac:dyDescent="0.25">
      <c r="A23" s="1">
        <v>23</v>
      </c>
      <c r="B23" s="2" t="s">
        <v>54</v>
      </c>
      <c r="C23" s="3">
        <v>385.71798958685361</v>
      </c>
      <c r="D23" s="16">
        <f t="shared" si="0"/>
        <v>386</v>
      </c>
      <c r="E23" s="33"/>
      <c r="G23" s="7"/>
      <c r="H23" s="11"/>
      <c r="I23" s="11"/>
    </row>
    <row r="24" spans="1:14" x14ac:dyDescent="0.25">
      <c r="A24" s="1">
        <v>24</v>
      </c>
      <c r="B24" s="2" t="s">
        <v>55</v>
      </c>
      <c r="C24" s="4">
        <v>387.19779565908186</v>
      </c>
      <c r="D24" s="16">
        <f t="shared" si="0"/>
        <v>387</v>
      </c>
      <c r="E24" s="33"/>
    </row>
    <row r="25" spans="1:14" x14ac:dyDescent="0.25">
      <c r="A25" s="1">
        <v>25</v>
      </c>
      <c r="B25" s="2" t="s">
        <v>56</v>
      </c>
      <c r="C25" s="3">
        <v>388.67971448701883</v>
      </c>
      <c r="D25" s="17">
        <f t="shared" si="0"/>
        <v>389</v>
      </c>
      <c r="E25" s="33"/>
    </row>
    <row r="26" spans="1:14" x14ac:dyDescent="0.25">
      <c r="A26" s="1">
        <v>26</v>
      </c>
      <c r="B26" s="2" t="s">
        <v>57</v>
      </c>
      <c r="C26" s="4">
        <v>390.16374679079308</v>
      </c>
      <c r="D26" s="16">
        <f t="shared" si="0"/>
        <v>390</v>
      </c>
      <c r="E26" s="33"/>
    </row>
    <row r="27" spans="1:14" x14ac:dyDescent="0.25">
      <c r="A27" s="1">
        <v>27</v>
      </c>
      <c r="B27" s="2" t="s">
        <v>58</v>
      </c>
      <c r="C27" s="3">
        <v>391.64989328192826</v>
      </c>
      <c r="D27" s="16">
        <f t="shared" si="0"/>
        <v>392</v>
      </c>
      <c r="E27" s="33"/>
    </row>
    <row r="28" spans="1:14" x14ac:dyDescent="0.25">
      <c r="A28" s="1">
        <v>28</v>
      </c>
      <c r="B28" s="2" t="s">
        <v>59</v>
      </c>
      <c r="C28" s="4">
        <v>393.28709714717286</v>
      </c>
      <c r="D28" s="17">
        <f t="shared" si="0"/>
        <v>393</v>
      </c>
      <c r="E28" s="33"/>
    </row>
    <row r="29" spans="1:14" x14ac:dyDescent="0.25">
      <c r="A29" s="1">
        <v>29</v>
      </c>
      <c r="B29" s="2" t="s">
        <v>60</v>
      </c>
      <c r="C29" s="3">
        <v>394.85227068543543</v>
      </c>
      <c r="D29" s="16">
        <f t="shared" si="0"/>
        <v>395</v>
      </c>
      <c r="E29" s="33"/>
    </row>
    <row r="30" spans="1:14" x14ac:dyDescent="0.25">
      <c r="A30" s="1">
        <v>30</v>
      </c>
      <c r="B30" s="2" t="s">
        <v>61</v>
      </c>
      <c r="C30" s="4">
        <v>396.49447891978195</v>
      </c>
      <c r="D30" s="16">
        <f t="shared" si="0"/>
        <v>396</v>
      </c>
      <c r="E30" s="33"/>
    </row>
    <row r="31" spans="1:14" x14ac:dyDescent="0.25">
      <c r="A31" s="1">
        <v>31</v>
      </c>
      <c r="B31" s="2" t="s">
        <v>62</v>
      </c>
      <c r="C31" s="3">
        <v>397.98961844259622</v>
      </c>
      <c r="D31" s="17">
        <f t="shared" si="0"/>
        <v>398</v>
      </c>
      <c r="E31" s="33"/>
    </row>
    <row r="32" spans="1:14" x14ac:dyDescent="0.25">
      <c r="A32" s="1">
        <v>32</v>
      </c>
      <c r="B32" s="2" t="s">
        <v>63</v>
      </c>
      <c r="C32" s="4">
        <v>399.8615210505053</v>
      </c>
      <c r="D32" s="16">
        <f t="shared" si="0"/>
        <v>400</v>
      </c>
      <c r="E32" s="33"/>
    </row>
    <row r="33" spans="1:5" x14ac:dyDescent="0.25">
      <c r="A33" s="1">
        <v>33</v>
      </c>
      <c r="B33" s="2" t="s">
        <v>64</v>
      </c>
      <c r="C33" s="3">
        <v>401.7367339680593</v>
      </c>
      <c r="D33" s="16">
        <f t="shared" ref="D33:D64" si="9">ROUND(C33,0)</f>
        <v>402</v>
      </c>
      <c r="E33" s="33"/>
    </row>
    <row r="34" spans="1:5" x14ac:dyDescent="0.25">
      <c r="A34" s="1">
        <v>34</v>
      </c>
      <c r="B34" s="2" t="s">
        <v>65</v>
      </c>
      <c r="C34" s="4">
        <v>403.61525845326105</v>
      </c>
      <c r="D34" s="17">
        <f t="shared" si="9"/>
        <v>404</v>
      </c>
      <c r="E34" s="33"/>
    </row>
    <row r="35" spans="1:5" x14ac:dyDescent="0.25">
      <c r="A35" s="1">
        <v>35</v>
      </c>
      <c r="B35" s="2" t="s">
        <v>66</v>
      </c>
      <c r="C35" s="3">
        <v>405.12046320138143</v>
      </c>
      <c r="D35" s="16">
        <f t="shared" si="9"/>
        <v>405</v>
      </c>
      <c r="E35" s="33"/>
    </row>
    <row r="36" spans="1:5" x14ac:dyDescent="0.25">
      <c r="A36" s="1">
        <v>36</v>
      </c>
      <c r="B36" s="2" t="s">
        <v>67</v>
      </c>
      <c r="C36" s="4">
        <v>406.62778876667869</v>
      </c>
      <c r="D36" s="17">
        <f t="shared" si="9"/>
        <v>407</v>
      </c>
      <c r="E36" s="33"/>
    </row>
    <row r="37" spans="1:5" x14ac:dyDescent="0.25">
      <c r="A37" s="1">
        <v>37</v>
      </c>
      <c r="B37" s="2" t="s">
        <v>68</v>
      </c>
      <c r="C37" s="3">
        <v>408.66604351098954</v>
      </c>
      <c r="D37" s="16">
        <f t="shared" si="9"/>
        <v>409</v>
      </c>
      <c r="E37" s="33"/>
    </row>
    <row r="38" spans="1:5" x14ac:dyDescent="0.25">
      <c r="A38" s="1">
        <v>38</v>
      </c>
      <c r="B38" s="2" t="s">
        <v>69</v>
      </c>
      <c r="C38" s="4">
        <v>410.40538525710656</v>
      </c>
      <c r="D38" s="16">
        <f t="shared" si="9"/>
        <v>410</v>
      </c>
      <c r="E38" s="33"/>
    </row>
    <row r="39" spans="1:5" x14ac:dyDescent="0.25">
      <c r="A39" s="1">
        <v>39</v>
      </c>
      <c r="B39" s="2" t="s">
        <v>70</v>
      </c>
      <c r="C39" s="3">
        <v>411.92013845152383</v>
      </c>
      <c r="D39" s="17">
        <f t="shared" si="9"/>
        <v>412</v>
      </c>
      <c r="E39" s="33"/>
    </row>
    <row r="40" spans="1:5" x14ac:dyDescent="0.25">
      <c r="A40" s="1">
        <v>40</v>
      </c>
      <c r="B40" s="2" t="s">
        <v>71</v>
      </c>
      <c r="C40" s="4">
        <v>413.43701514987833</v>
      </c>
      <c r="D40" s="16">
        <f t="shared" si="9"/>
        <v>413</v>
      </c>
      <c r="E40" s="33"/>
    </row>
    <row r="41" spans="1:5" x14ac:dyDescent="0.25">
      <c r="A41" s="1">
        <v>41</v>
      </c>
      <c r="B41" s="2" t="s">
        <v>72</v>
      </c>
      <c r="C41" s="3">
        <v>415.03202172926717</v>
      </c>
      <c r="D41" s="16">
        <f t="shared" si="9"/>
        <v>415</v>
      </c>
      <c r="E41" s="33"/>
    </row>
    <row r="42" spans="1:5" x14ac:dyDescent="0.25">
      <c r="A42" s="1">
        <v>42</v>
      </c>
      <c r="B42" s="2" t="s">
        <v>73</v>
      </c>
      <c r="C42" s="4">
        <v>416.51519669618062</v>
      </c>
      <c r="D42" s="17">
        <f t="shared" si="9"/>
        <v>417</v>
      </c>
      <c r="E42" s="33"/>
    </row>
    <row r="43" spans="1:5" x14ac:dyDescent="0.25">
      <c r="A43" s="1">
        <v>43</v>
      </c>
      <c r="B43" s="2" t="s">
        <v>74</v>
      </c>
      <c r="C43" s="3">
        <v>418.00039193432531</v>
      </c>
      <c r="D43" s="16">
        <f t="shared" si="9"/>
        <v>418</v>
      </c>
      <c r="E43" s="33"/>
    </row>
    <row r="44" spans="1:5" x14ac:dyDescent="0.25">
      <c r="A44" s="1">
        <v>44</v>
      </c>
      <c r="B44" s="2" t="s">
        <v>75</v>
      </c>
      <c r="C44" s="4">
        <v>419.52576826659231</v>
      </c>
      <c r="D44" s="16">
        <f t="shared" si="9"/>
        <v>420</v>
      </c>
      <c r="E44" s="33"/>
    </row>
    <row r="45" spans="1:5" x14ac:dyDescent="0.25">
      <c r="A45" s="1">
        <v>45</v>
      </c>
      <c r="B45" s="2" t="s">
        <v>76</v>
      </c>
      <c r="C45" s="3">
        <v>421.05327086411012</v>
      </c>
      <c r="D45" s="17">
        <f t="shared" si="9"/>
        <v>421</v>
      </c>
      <c r="E45" s="33"/>
    </row>
    <row r="46" spans="1:5" x14ac:dyDescent="0.25">
      <c r="A46" s="1">
        <v>46</v>
      </c>
      <c r="B46" s="2" t="s">
        <v>77</v>
      </c>
      <c r="C46" s="4">
        <v>422.58290025028748</v>
      </c>
      <c r="D46" s="16">
        <f t="shared" si="9"/>
        <v>423</v>
      </c>
      <c r="E46" s="33"/>
    </row>
    <row r="47" spans="1:5" x14ac:dyDescent="0.25">
      <c r="A47" s="1">
        <v>47</v>
      </c>
      <c r="B47" s="2" t="s">
        <v>78</v>
      </c>
      <c r="C47" s="3">
        <v>424.1146569388078</v>
      </c>
      <c r="D47" s="16">
        <f t="shared" si="9"/>
        <v>424</v>
      </c>
      <c r="E47" s="33"/>
    </row>
    <row r="48" spans="1:5" x14ac:dyDescent="0.25">
      <c r="A48" s="1">
        <v>48</v>
      </c>
      <c r="B48" s="2" t="s">
        <v>79</v>
      </c>
      <c r="C48" s="4">
        <v>425.64854143356422</v>
      </c>
      <c r="D48" s="17">
        <f t="shared" si="9"/>
        <v>426</v>
      </c>
      <c r="E48" s="33"/>
    </row>
    <row r="49" spans="1:5" x14ac:dyDescent="0.25">
      <c r="A49" s="1">
        <v>49</v>
      </c>
      <c r="B49" s="2" t="s">
        <v>80</v>
      </c>
      <c r="C49" s="6">
        <v>427.18455422859404</v>
      </c>
      <c r="D49" s="16">
        <f t="shared" si="9"/>
        <v>427</v>
      </c>
      <c r="E49" s="33"/>
    </row>
    <row r="50" spans="1:5" x14ac:dyDescent="0.25">
      <c r="A50" s="1">
        <v>50</v>
      </c>
      <c r="B50" s="2" t="s">
        <v>81</v>
      </c>
      <c r="C50" s="12">
        <v>427.18455422859404</v>
      </c>
      <c r="D50" s="16">
        <f t="shared" si="9"/>
        <v>427</v>
      </c>
      <c r="E50" s="33"/>
    </row>
    <row r="51" spans="1:5" x14ac:dyDescent="0.25">
      <c r="A51" s="1">
        <v>51</v>
      </c>
      <c r="B51" s="2" t="s">
        <v>82</v>
      </c>
      <c r="C51" s="3">
        <v>427.18455422859404</v>
      </c>
      <c r="D51" s="16">
        <f t="shared" si="9"/>
        <v>427</v>
      </c>
      <c r="E51" s="33"/>
    </row>
    <row r="52" spans="1:5" x14ac:dyDescent="0.25">
      <c r="A52" s="1">
        <v>52</v>
      </c>
      <c r="B52" s="2" t="s">
        <v>83</v>
      </c>
      <c r="C52" s="12">
        <v>427.95335889039825</v>
      </c>
      <c r="D52" s="17">
        <f t="shared" si="9"/>
        <v>428</v>
      </c>
      <c r="E52" s="33"/>
    </row>
    <row r="53" spans="1:5" x14ac:dyDescent="0.25">
      <c r="A53" s="1">
        <v>53</v>
      </c>
      <c r="B53" s="2" t="s">
        <v>84</v>
      </c>
      <c r="C53" s="6">
        <v>427.56889003122467</v>
      </c>
      <c r="D53" s="17">
        <f t="shared" si="9"/>
        <v>428</v>
      </c>
      <c r="E53" s="33"/>
    </row>
    <row r="54" spans="1:5" x14ac:dyDescent="0.25">
      <c r="A54" s="1">
        <v>54</v>
      </c>
      <c r="B54" s="2" t="s">
        <v>85</v>
      </c>
      <c r="C54" s="12">
        <v>427.95335889039825</v>
      </c>
      <c r="D54" s="16">
        <f t="shared" si="9"/>
        <v>428</v>
      </c>
      <c r="E54" s="33"/>
    </row>
    <row r="55" spans="1:5" x14ac:dyDescent="0.25">
      <c r="A55" s="1">
        <v>55</v>
      </c>
      <c r="B55" s="2" t="s">
        <v>86</v>
      </c>
      <c r="C55" s="6">
        <v>428.3379608135441</v>
      </c>
      <c r="D55" s="17">
        <f t="shared" si="9"/>
        <v>428</v>
      </c>
      <c r="E55" s="33"/>
    </row>
    <row r="56" spans="1:5" x14ac:dyDescent="0.25">
      <c r="A56" s="1">
        <v>56</v>
      </c>
      <c r="B56" s="2" t="s">
        <v>87</v>
      </c>
      <c r="C56" s="12">
        <v>429.49256504051982</v>
      </c>
      <c r="D56" s="16">
        <f t="shared" si="9"/>
        <v>429</v>
      </c>
      <c r="E56" s="33"/>
    </row>
    <row r="57" spans="1:5" x14ac:dyDescent="0.25">
      <c r="A57" s="1">
        <v>57</v>
      </c>
      <c r="B57" s="2" t="s">
        <v>88</v>
      </c>
      <c r="C57" s="6">
        <v>428.72269580805221</v>
      </c>
      <c r="D57" s="16">
        <f t="shared" si="9"/>
        <v>429</v>
      </c>
      <c r="E57" s="33"/>
    </row>
    <row r="58" spans="1:5" x14ac:dyDescent="0.25">
      <c r="A58" s="1">
        <v>58</v>
      </c>
      <c r="B58" s="2" t="s">
        <v>89</v>
      </c>
      <c r="C58" s="3">
        <v>429.10756388127356</v>
      </c>
      <c r="D58" s="16">
        <f t="shared" si="9"/>
        <v>429</v>
      </c>
      <c r="E58" s="33"/>
    </row>
    <row r="59" spans="1:5" x14ac:dyDescent="0.25">
      <c r="A59" s="1">
        <v>59</v>
      </c>
      <c r="B59" s="2" t="s">
        <v>90</v>
      </c>
      <c r="C59" s="4">
        <v>428.72269580805221</v>
      </c>
      <c r="D59" s="17">
        <f t="shared" si="9"/>
        <v>429</v>
      </c>
      <c r="E59" s="33"/>
    </row>
    <row r="60" spans="1:5" x14ac:dyDescent="0.25">
      <c r="A60" s="1">
        <v>60</v>
      </c>
      <c r="B60" s="2" t="s">
        <v>91</v>
      </c>
      <c r="C60" s="6">
        <v>430.26296664614404</v>
      </c>
      <c r="D60" s="17">
        <f t="shared" si="9"/>
        <v>430</v>
      </c>
      <c r="E60" s="33"/>
    </row>
    <row r="61" spans="1:5" x14ac:dyDescent="0.25">
      <c r="A61" s="1">
        <v>61</v>
      </c>
      <c r="B61" s="2" t="s">
        <v>92</v>
      </c>
      <c r="C61" s="4">
        <v>430.26296664614404</v>
      </c>
      <c r="D61" s="16">
        <f t="shared" si="9"/>
        <v>430</v>
      </c>
      <c r="E61" s="33"/>
    </row>
    <row r="62" spans="1:5" x14ac:dyDescent="0.25">
      <c r="A62" s="1">
        <v>62</v>
      </c>
      <c r="B62" s="2" t="s">
        <v>93</v>
      </c>
      <c r="C62" s="12">
        <v>430.64836710694578</v>
      </c>
      <c r="D62" s="17">
        <f t="shared" si="9"/>
        <v>431</v>
      </c>
      <c r="E62" s="33"/>
    </row>
    <row r="63" spans="1:5" x14ac:dyDescent="0.25">
      <c r="A63" s="1">
        <v>63</v>
      </c>
      <c r="B63" s="2" t="s">
        <v>94</v>
      </c>
      <c r="C63" s="6">
        <v>431.03390068262877</v>
      </c>
      <c r="D63" s="16">
        <f t="shared" si="9"/>
        <v>431</v>
      </c>
      <c r="E63" s="33"/>
    </row>
    <row r="64" spans="1:5" x14ac:dyDescent="0.25">
      <c r="A64" s="1">
        <v>64</v>
      </c>
      <c r="B64" s="2" t="s">
        <v>95</v>
      </c>
      <c r="C64" s="12">
        <v>430.64836710694578</v>
      </c>
      <c r="D64" s="16">
        <f t="shared" si="9"/>
        <v>431</v>
      </c>
      <c r="E64" s="33"/>
    </row>
    <row r="65" spans="1:5" x14ac:dyDescent="0.25">
      <c r="A65" s="1">
        <v>65</v>
      </c>
      <c r="B65" s="2" t="s">
        <v>96</v>
      </c>
      <c r="C65" s="3">
        <v>431.03390068262877</v>
      </c>
      <c r="D65" s="17">
        <f t="shared" ref="D65:D92" si="10">ROUND(C65,0)</f>
        <v>431</v>
      </c>
      <c r="E65" s="33"/>
    </row>
    <row r="66" spans="1:5" x14ac:dyDescent="0.25">
      <c r="A66" s="1">
        <v>66</v>
      </c>
      <c r="B66" s="2" t="s">
        <v>97</v>
      </c>
      <c r="C66" s="3">
        <v>430.64836710694578</v>
      </c>
      <c r="D66" s="16">
        <f t="shared" si="10"/>
        <v>431</v>
      </c>
      <c r="E66" s="33"/>
    </row>
    <row r="67" spans="1:5" x14ac:dyDescent="0.25">
      <c r="A67" s="1">
        <v>67</v>
      </c>
      <c r="B67" s="2" t="s">
        <v>98</v>
      </c>
      <c r="C67" s="6">
        <v>431.80536720706107</v>
      </c>
      <c r="D67" s="16">
        <f t="shared" si="10"/>
        <v>432</v>
      </c>
      <c r="E67" s="33"/>
    </row>
    <row r="68" spans="1:5" x14ac:dyDescent="0.25">
      <c r="A68" s="1">
        <v>68</v>
      </c>
      <c r="B68" s="2" t="s">
        <v>99</v>
      </c>
      <c r="C68" s="4">
        <v>431.80536720706107</v>
      </c>
      <c r="D68" s="16">
        <f t="shared" si="10"/>
        <v>432</v>
      </c>
      <c r="E68" s="33"/>
    </row>
    <row r="69" spans="1:5" x14ac:dyDescent="0.25">
      <c r="A69" s="1">
        <v>69</v>
      </c>
      <c r="B69" s="2" t="s">
        <v>100</v>
      </c>
      <c r="C69" s="4">
        <v>432.19130016992426</v>
      </c>
      <c r="D69" s="16">
        <f t="shared" si="10"/>
        <v>432</v>
      </c>
      <c r="E69" s="33"/>
    </row>
    <row r="70" spans="1:5" x14ac:dyDescent="0.25">
      <c r="A70" s="1">
        <v>70</v>
      </c>
      <c r="B70" s="2" t="s">
        <v>101</v>
      </c>
      <c r="C70" s="6">
        <v>433.34989794495232</v>
      </c>
      <c r="D70" s="17">
        <f t="shared" si="10"/>
        <v>433</v>
      </c>
      <c r="E70" s="33"/>
    </row>
    <row r="71" spans="1:5" x14ac:dyDescent="0.25">
      <c r="A71" s="1">
        <v>71</v>
      </c>
      <c r="B71" s="2" t="s">
        <v>102</v>
      </c>
      <c r="C71" s="12">
        <v>432.57736627589497</v>
      </c>
      <c r="D71" s="16">
        <f t="shared" si="10"/>
        <v>433</v>
      </c>
      <c r="E71" s="33"/>
    </row>
    <row r="72" spans="1:5" x14ac:dyDescent="0.25">
      <c r="A72" s="1">
        <v>72</v>
      </c>
      <c r="B72" s="2" t="s">
        <v>103</v>
      </c>
      <c r="C72" s="3">
        <v>432.57736627589497</v>
      </c>
      <c r="D72" s="16">
        <f t="shared" si="10"/>
        <v>433</v>
      </c>
      <c r="E72" s="33"/>
    </row>
    <row r="73" spans="1:5" x14ac:dyDescent="0.25">
      <c r="A73" s="1">
        <v>73</v>
      </c>
      <c r="B73" s="2" t="s">
        <v>104</v>
      </c>
      <c r="C73" s="4">
        <v>432.96356553193152</v>
      </c>
      <c r="D73" s="17">
        <f t="shared" si="10"/>
        <v>433</v>
      </c>
      <c r="E73" s="33"/>
    </row>
    <row r="74" spans="1:5" x14ac:dyDescent="0.25">
      <c r="A74" s="1">
        <v>74</v>
      </c>
      <c r="B74" s="2" t="s">
        <v>105</v>
      </c>
      <c r="C74" s="3">
        <v>433.34989794495232</v>
      </c>
      <c r="D74" s="16">
        <f t="shared" si="10"/>
        <v>433</v>
      </c>
      <c r="E74" s="33"/>
    </row>
    <row r="75" spans="1:5" x14ac:dyDescent="0.25">
      <c r="A75" s="1">
        <v>75</v>
      </c>
      <c r="B75" s="2" t="s">
        <v>106</v>
      </c>
      <c r="C75" s="12">
        <v>433.73636352183587</v>
      </c>
      <c r="D75" s="16">
        <f t="shared" si="10"/>
        <v>434</v>
      </c>
      <c r="E75" s="33"/>
    </row>
    <row r="76" spans="1:5" x14ac:dyDescent="0.25">
      <c r="A76" s="1">
        <v>76</v>
      </c>
      <c r="B76" s="2" t="s">
        <v>107</v>
      </c>
      <c r="C76" s="4">
        <v>433.73636352183587</v>
      </c>
      <c r="D76" s="16">
        <f t="shared" si="10"/>
        <v>434</v>
      </c>
      <c r="E76" s="33"/>
    </row>
    <row r="77" spans="1:5" x14ac:dyDescent="0.25">
      <c r="A77" s="1">
        <v>77</v>
      </c>
      <c r="B77" s="2" t="s">
        <v>108</v>
      </c>
      <c r="C77" s="6">
        <v>433.73636352183587</v>
      </c>
      <c r="D77" s="17">
        <f t="shared" si="10"/>
        <v>434</v>
      </c>
      <c r="E77" s="33"/>
    </row>
    <row r="78" spans="1:5" x14ac:dyDescent="0.25">
      <c r="A78" s="1">
        <v>78</v>
      </c>
      <c r="B78" s="2" t="s">
        <v>109</v>
      </c>
      <c r="C78" s="3">
        <v>433.73636352183587</v>
      </c>
      <c r="D78" s="17">
        <f t="shared" si="10"/>
        <v>434</v>
      </c>
      <c r="E78" s="33"/>
    </row>
    <row r="79" spans="1:5" x14ac:dyDescent="0.25">
      <c r="A79" s="1">
        <v>79</v>
      </c>
      <c r="B79" s="2" t="s">
        <v>110</v>
      </c>
      <c r="C79" s="6">
        <v>434.89655930385948</v>
      </c>
      <c r="D79" s="17">
        <f t="shared" si="10"/>
        <v>435</v>
      </c>
      <c r="E79" s="33"/>
    </row>
    <row r="80" spans="1:5" x14ac:dyDescent="0.25">
      <c r="A80" s="1">
        <v>80</v>
      </c>
      <c r="B80" s="2" t="s">
        <v>111</v>
      </c>
      <c r="C80" s="12">
        <v>436.05795380446284</v>
      </c>
      <c r="D80" s="16">
        <f t="shared" si="10"/>
        <v>436</v>
      </c>
      <c r="E80" s="33"/>
    </row>
    <row r="81" spans="1:5" x14ac:dyDescent="0.25">
      <c r="A81" s="1">
        <v>81</v>
      </c>
      <c r="B81" s="2" t="s">
        <v>112</v>
      </c>
      <c r="C81" s="6">
        <v>436.44535171765028</v>
      </c>
      <c r="D81" s="16">
        <f t="shared" si="10"/>
        <v>436</v>
      </c>
      <c r="E81" s="33"/>
    </row>
    <row r="82" spans="1:5" x14ac:dyDescent="0.25">
      <c r="A82" s="1">
        <v>82</v>
      </c>
      <c r="B82" s="2" t="s">
        <v>113</v>
      </c>
      <c r="C82" s="12">
        <v>435.67068910217506</v>
      </c>
      <c r="D82" s="16">
        <f t="shared" si="10"/>
        <v>436</v>
      </c>
      <c r="E82" s="33"/>
    </row>
    <row r="83" spans="1:5" x14ac:dyDescent="0.25">
      <c r="A83" s="1">
        <v>83</v>
      </c>
      <c r="B83" s="2" t="s">
        <v>114</v>
      </c>
      <c r="C83" s="12">
        <v>437.22054720292363</v>
      </c>
      <c r="D83" s="17">
        <f t="shared" si="10"/>
        <v>437</v>
      </c>
      <c r="E83" s="33"/>
    </row>
    <row r="84" spans="1:5" x14ac:dyDescent="0.25">
      <c r="A84" s="1">
        <v>84</v>
      </c>
      <c r="B84" s="2" t="s">
        <v>115</v>
      </c>
      <c r="C84" s="6">
        <v>438.38433967527089</v>
      </c>
      <c r="D84" s="17">
        <f t="shared" si="10"/>
        <v>438</v>
      </c>
      <c r="E84" s="33"/>
    </row>
    <row r="85" spans="1:5" x14ac:dyDescent="0.25">
      <c r="A85" s="1">
        <v>85</v>
      </c>
      <c r="B85" s="2" t="s">
        <v>116</v>
      </c>
      <c r="C85" s="6">
        <v>438.38433967527089</v>
      </c>
      <c r="D85" s="16">
        <f t="shared" si="10"/>
        <v>438</v>
      </c>
      <c r="E85" s="33"/>
    </row>
    <row r="86" spans="1:5" x14ac:dyDescent="0.25">
      <c r="A86" s="1">
        <v>86</v>
      </c>
      <c r="B86" s="2">
        <v>43163</v>
      </c>
      <c r="C86" s="12">
        <v>439.16086756111577</v>
      </c>
      <c r="D86" s="16">
        <f t="shared" si="10"/>
        <v>439</v>
      </c>
      <c r="E86" s="33"/>
    </row>
    <row r="87" spans="1:5" x14ac:dyDescent="0.25">
      <c r="A87" s="1">
        <v>87</v>
      </c>
      <c r="B87" s="2" t="s">
        <v>117</v>
      </c>
      <c r="C87" s="12">
        <v>438.7725369902065</v>
      </c>
      <c r="D87" s="16">
        <f t="shared" si="10"/>
        <v>439</v>
      </c>
      <c r="E87" s="33"/>
    </row>
    <row r="88" spans="1:5" x14ac:dyDescent="0.25">
      <c r="A88" s="1">
        <v>88</v>
      </c>
      <c r="B88" s="2" t="s">
        <v>118</v>
      </c>
      <c r="C88" s="6">
        <v>439.93792849593217</v>
      </c>
      <c r="D88" s="16">
        <f t="shared" si="10"/>
        <v>440</v>
      </c>
      <c r="E88" s="33"/>
    </row>
    <row r="89" spans="1:5" x14ac:dyDescent="0.25">
      <c r="A89" s="1">
        <v>89</v>
      </c>
      <c r="B89" s="2" t="s">
        <v>119</v>
      </c>
      <c r="C89" s="12">
        <v>440.32665887226915</v>
      </c>
      <c r="D89" s="17">
        <f t="shared" si="10"/>
        <v>440</v>
      </c>
      <c r="E89" s="33"/>
    </row>
    <row r="90" spans="1:5" x14ac:dyDescent="0.25">
      <c r="A90" s="1">
        <v>90</v>
      </c>
      <c r="B90" s="2" t="s">
        <v>120</v>
      </c>
      <c r="C90" s="6">
        <v>439.93792849593217</v>
      </c>
      <c r="D90" s="17">
        <f t="shared" si="10"/>
        <v>440</v>
      </c>
      <c r="E90" s="33"/>
    </row>
    <row r="91" spans="1:5" x14ac:dyDescent="0.25">
      <c r="A91" s="1">
        <v>91</v>
      </c>
      <c r="B91" s="2" t="s">
        <v>121</v>
      </c>
      <c r="C91" s="6">
        <v>440.71552252944855</v>
      </c>
      <c r="D91" s="16">
        <f t="shared" si="10"/>
        <v>441</v>
      </c>
      <c r="E91" s="33"/>
    </row>
    <row r="92" spans="1:5" x14ac:dyDescent="0.25">
      <c r="A92" s="1">
        <v>92</v>
      </c>
      <c r="B92" s="2" t="s">
        <v>122</v>
      </c>
      <c r="C92" s="12">
        <v>441.10451947358638</v>
      </c>
      <c r="D92" s="16">
        <f t="shared" si="10"/>
        <v>441</v>
      </c>
      <c r="E92" s="33"/>
    </row>
  </sheetData>
  <mergeCells count="9">
    <mergeCell ref="S2:T2"/>
    <mergeCell ref="E1:E92"/>
    <mergeCell ref="G1:H1"/>
    <mergeCell ref="G9:H9"/>
    <mergeCell ref="L9:M9"/>
    <mergeCell ref="J11:J15"/>
    <mergeCell ref="J16:J21"/>
    <mergeCell ref="I18:I19"/>
    <mergeCell ref="G22:I2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Represa _ Jaguari Jacareí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wenceslau lorena</dc:creator>
  <cp:lastModifiedBy>Diego</cp:lastModifiedBy>
  <dcterms:created xsi:type="dcterms:W3CDTF">2019-05-25T21:03:12Z</dcterms:created>
  <dcterms:modified xsi:type="dcterms:W3CDTF">2019-05-30T18:22:13Z</dcterms:modified>
</cp:coreProperties>
</file>